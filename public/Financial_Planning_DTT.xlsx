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dttrevanth/Desktop/"/>
    </mc:Choice>
  </mc:AlternateContent>
  <xr:revisionPtr revIDLastSave="0" documentId="13_ncr:1_{D947FF1F-EE27-9E4A-B36D-CC4548B63A2A}" xr6:coauthVersionLast="47" xr6:coauthVersionMax="47" xr10:uidLastSave="{00000000-0000-0000-0000-000000000000}"/>
  <bookViews>
    <workbookView xWindow="0" yWindow="660" windowWidth="30240" windowHeight="17300" xr2:uid="{00000000-000D-0000-FFFF-FFFF00000000}"/>
  </bookViews>
  <sheets>
    <sheet name="Dashboard" sheetId="1" r:id="rId1"/>
    <sheet name="Emergency Fund Plan" sheetId="2" r:id="rId2"/>
    <sheet name="Guide" sheetId="7" r:id="rId3"/>
    <sheet name="Investment Planning" sheetId="4" r:id="rId4"/>
    <sheet name="Retirement Planni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7" l="1"/>
  <c r="C8" i="7"/>
  <c r="C7" i="7"/>
  <c r="C6" i="7"/>
  <c r="C5" i="7"/>
  <c r="C4" i="7"/>
  <c r="I10" i="4"/>
  <c r="F7" i="1"/>
  <c r="F6" i="1"/>
  <c r="E6" i="5"/>
  <c r="B6" i="5"/>
  <c r="B4" i="5"/>
  <c r="B3" i="5"/>
  <c r="B10" i="4"/>
  <c r="F9" i="1"/>
  <c r="B7" i="1"/>
  <c r="I11" i="4" s="1"/>
  <c r="F4" i="1"/>
  <c r="G14" i="2" l="1"/>
  <c r="G13" i="2"/>
  <c r="G11" i="2"/>
  <c r="G9" i="2"/>
  <c r="G8" i="2"/>
  <c r="G15" i="2"/>
  <c r="G12" i="2"/>
  <c r="G10" i="2"/>
  <c r="B5" i="5"/>
  <c r="C8" i="4"/>
  <c r="F8" i="4" s="1"/>
  <c r="C5" i="4"/>
  <c r="F5" i="4" s="1"/>
  <c r="C15" i="2"/>
  <c r="E15" i="2" s="1"/>
  <c r="C12" i="2"/>
  <c r="E12" i="2" s="1"/>
  <c r="C11" i="2"/>
  <c r="E11" i="2" s="1"/>
  <c r="C8" i="2"/>
  <c r="E8" i="2" s="1"/>
  <c r="C7" i="4"/>
  <c r="F7" i="4" s="1"/>
  <c r="C6" i="4"/>
  <c r="F6" i="4" s="1"/>
  <c r="C4" i="4"/>
  <c r="C14" i="2"/>
  <c r="E14" i="2" s="1"/>
  <c r="C13" i="2"/>
  <c r="E13" i="2" s="1"/>
  <c r="C10" i="2"/>
  <c r="E10" i="2" s="1"/>
  <c r="C9" i="2"/>
  <c r="E9" i="2" s="1"/>
  <c r="C4" i="2"/>
  <c r="E4" i="2" s="1"/>
  <c r="F4" i="2" s="1"/>
  <c r="B5" i="2" s="1"/>
  <c r="C6" i="2"/>
  <c r="E6" i="2" s="1"/>
  <c r="K5" i="2"/>
  <c r="C5" i="2"/>
  <c r="E5" i="2" s="1"/>
  <c r="E4" i="5"/>
  <c r="C7" i="2"/>
  <c r="E7" i="2" s="1"/>
  <c r="G7" i="2"/>
  <c r="G6" i="2"/>
  <c r="G5" i="2"/>
  <c r="G4" i="2"/>
  <c r="F5" i="1"/>
  <c r="K8" i="2" s="1"/>
  <c r="K4" i="2"/>
  <c r="E5" i="5" l="1"/>
  <c r="E12" i="5"/>
  <c r="B11" i="5"/>
  <c r="B12" i="5" s="1"/>
  <c r="B14" i="5" s="1"/>
  <c r="E8" i="5" s="1"/>
  <c r="E11" i="5"/>
  <c r="F5" i="2"/>
  <c r="H4" i="2"/>
  <c r="C10" i="4"/>
  <c r="F4" i="4"/>
  <c r="F10" i="4" s="1"/>
  <c r="I12" i="4" s="1"/>
  <c r="F10" i="1"/>
  <c r="E7" i="5" l="1"/>
  <c r="H5" i="2"/>
  <c r="B6" i="2"/>
  <c r="F6" i="2" s="1"/>
  <c r="H6" i="2" l="1"/>
  <c r="B7" i="2"/>
  <c r="F7" i="2" s="1"/>
  <c r="B8" i="2" l="1"/>
  <c r="F8" i="2" s="1"/>
  <c r="H7" i="2"/>
  <c r="B9" i="2" l="1"/>
  <c r="F9" i="2" s="1"/>
  <c r="H8" i="2"/>
  <c r="B10" i="2" l="1"/>
  <c r="F10" i="2" s="1"/>
  <c r="H9" i="2"/>
  <c r="H10" i="2" l="1"/>
  <c r="B11" i="2"/>
  <c r="F11" i="2" s="1"/>
  <c r="H11" i="2" l="1"/>
  <c r="B12" i="2"/>
  <c r="F12" i="2" s="1"/>
  <c r="B13" i="2" l="1"/>
  <c r="F13" i="2" s="1"/>
  <c r="H12" i="2"/>
  <c r="B14" i="2" l="1"/>
  <c r="F14" i="2" s="1"/>
  <c r="H13" i="2"/>
  <c r="B15" i="2" l="1"/>
  <c r="F15" i="2" s="1"/>
  <c r="H14" i="2"/>
  <c r="H15" i="2" l="1"/>
  <c r="K6" i="2"/>
  <c r="K7" i="2" s="1"/>
</calcChain>
</file>

<file path=xl/sharedStrings.xml><?xml version="1.0" encoding="utf-8"?>
<sst xmlns="http://schemas.openxmlformats.org/spreadsheetml/2006/main" count="140" uniqueCount="113">
  <si>
    <t>COMPLETE FINANCIAL PLANNING DASHBOARD</t>
  </si>
  <si>
    <t>Current Age</t>
  </si>
  <si>
    <t>years</t>
  </si>
  <si>
    <t>Emergency Fund Target</t>
  </si>
  <si>
    <t>₹</t>
  </si>
  <si>
    <t>Monthly Salary</t>
  </si>
  <si>
    <t>Months Needed @ Full Surplus</t>
  </si>
  <si>
    <t>months</t>
  </si>
  <si>
    <t>Monthly Expenses</t>
  </si>
  <si>
    <t>Monthly Surplus</t>
  </si>
  <si>
    <t>Suggested Term Cover (20x annual income)</t>
  </si>
  <si>
    <t>Emergency Fund Months</t>
  </si>
  <si>
    <t>Suggested Health Cover</t>
  </si>
  <si>
    <t>Retirement Age</t>
  </si>
  <si>
    <t>Years to Retirement</t>
  </si>
  <si>
    <t>Retirement Corpus Estimate</t>
  </si>
  <si>
    <t>12-MONTH EMERGENCY FUND PLANNER</t>
  </si>
  <si>
    <t>Month</t>
  </si>
  <si>
    <t>Opening Balance</t>
  </si>
  <si>
    <t>Monthly Saving</t>
  </si>
  <si>
    <t>Interest / Buffer</t>
  </si>
  <si>
    <t>Total Added</t>
  </si>
  <si>
    <t>Closing Balance</t>
  </si>
  <si>
    <t>Target</t>
  </si>
  <si>
    <t>% of Target</t>
  </si>
  <si>
    <t>QUICK SUMMARY</t>
  </si>
  <si>
    <t>Month 1</t>
  </si>
  <si>
    <t>Target Corpus</t>
  </si>
  <si>
    <t>Month 2</t>
  </si>
  <si>
    <t>Monthly Saving Assumed</t>
  </si>
  <si>
    <t>Month 3</t>
  </si>
  <si>
    <t>Balance After 12 Months</t>
  </si>
  <si>
    <t>Month 4</t>
  </si>
  <si>
    <t>Gap After 12 Months</t>
  </si>
  <si>
    <t>Month 5</t>
  </si>
  <si>
    <t>Months Needed to Fully Reach Target</t>
  </si>
  <si>
    <t>Month 6</t>
  </si>
  <si>
    <t>Month 7</t>
  </si>
  <si>
    <t>Month 8</t>
  </si>
  <si>
    <t>Month 9</t>
  </si>
  <si>
    <t>Month 10</t>
  </si>
  <si>
    <t>Month 11</t>
  </si>
  <si>
    <t>Month 12</t>
  </si>
  <si>
    <t>INVESTMENT PLANNING (AFTER EMERGENCY FUND &amp; INSURANCE)</t>
  </si>
  <si>
    <t>Asset Class</t>
  </si>
  <si>
    <t>Allocation %</t>
  </si>
  <si>
    <t>Monthly SIP</t>
  </si>
  <si>
    <t>Expected CAGR</t>
  </si>
  <si>
    <t>Years</t>
  </si>
  <si>
    <t>Future Value</t>
  </si>
  <si>
    <t>Role in Portfolio</t>
  </si>
  <si>
    <t>Risk Level</t>
  </si>
  <si>
    <t>Nifty ETF</t>
  </si>
  <si>
    <t>Core stability</t>
  </si>
  <si>
    <t>Moderate</t>
  </si>
  <si>
    <t>Mid Cap ETF</t>
  </si>
  <si>
    <t>Growth</t>
  </si>
  <si>
    <t>Moderate-High</t>
  </si>
  <si>
    <t>Small Cap ETF</t>
  </si>
  <si>
    <t>Aggressive growth</t>
  </si>
  <si>
    <t>High</t>
  </si>
  <si>
    <t>REIT / Real Estate</t>
  </si>
  <si>
    <t>Diversification</t>
  </si>
  <si>
    <t>Gold ETF</t>
  </si>
  <si>
    <t>Hedge</t>
  </si>
  <si>
    <t>Low-Moderate</t>
  </si>
  <si>
    <t>Total</t>
  </si>
  <si>
    <t>Weighted Portfolio CAGR</t>
  </si>
  <si>
    <t>Monthly Investable Amount</t>
  </si>
  <si>
    <t>Projected 10-Year Corpus</t>
  </si>
  <si>
    <t>Note</t>
  </si>
  <si>
    <t>Assumes monthly SIP and constant CAGR</t>
  </si>
  <si>
    <t>RETIREMENT PLANNING MODEL</t>
  </si>
  <si>
    <t>Metric</t>
  </si>
  <si>
    <t>Value</t>
  </si>
  <si>
    <t>Unit</t>
  </si>
  <si>
    <t>Current Monthly Surplus</t>
  </si>
  <si>
    <t>Current Monthly Expenses</t>
  </si>
  <si>
    <t>Assumed Monthly Retirement SIP Return</t>
  </si>
  <si>
    <t>rate</t>
  </si>
  <si>
    <t>Inflation Assumption</t>
  </si>
  <si>
    <t>Required Monthly SIP</t>
  </si>
  <si>
    <t>Expected Return Before Retirement</t>
  </si>
  <si>
    <t>Corpus Target</t>
  </si>
  <si>
    <t>Expected Return After Retirement</t>
  </si>
  <si>
    <t>Educational estimate based on assumptions</t>
  </si>
  <si>
    <t>Expense Replacement Ratio</t>
  </si>
  <si>
    <t>Monthly Expense Needed at Retirement</t>
  </si>
  <si>
    <t>Sensitivity - Corpus @ 5% inflation</t>
  </si>
  <si>
    <t>Annual Expense Needed at Retirement</t>
  </si>
  <si>
    <t>Sensitivity - Corpus @ 7% inflation</t>
  </si>
  <si>
    <t>Retirement Corpus Multiple (25x rule)</t>
  </si>
  <si>
    <t>Required Retirement Corpus</t>
  </si>
  <si>
    <t>Suggested Action</t>
  </si>
  <si>
    <t>Increase SIP with salary hikes each year</t>
  </si>
  <si>
    <t>Suggested Term Cover (25x annual income)</t>
  </si>
  <si>
    <t xml:space="preserve">PROFILE </t>
  </si>
  <si>
    <t>Final Value</t>
  </si>
  <si>
    <t>IMPORTANCE OF DIVERSIFICATION</t>
  </si>
  <si>
    <t>INVESTMENT</t>
  </si>
  <si>
    <t>Amount (₹)</t>
  </si>
  <si>
    <t>Purpose</t>
  </si>
  <si>
    <t>Stability</t>
  </si>
  <si>
    <t>Growth with Higher Risk</t>
  </si>
  <si>
    <t>High Growth with High Risk</t>
  </si>
  <si>
    <t>Diversification &amp; Rental Yield</t>
  </si>
  <si>
    <t>Inflation Protection &amp; Equity Hedge</t>
  </si>
  <si>
    <t>Total Investment</t>
  </si>
  <si>
    <t>DISCLAIMER: ETF Names Educational illustration only. You can Edit Them This workbook does not constitute investment advice, insurance advice, or a recommendation.</t>
  </si>
  <si>
    <t>https://bit.ly/_Term_Policy</t>
  </si>
  <si>
    <r>
      <t>1Cr Best Term Policy:</t>
    </r>
    <r>
      <rPr>
        <sz val="13"/>
        <color rgb="FF000000"/>
        <rFont val="Helvetica Neue"/>
        <family val="2"/>
      </rPr>
      <t xml:space="preserve"> </t>
    </r>
  </si>
  <si>
    <t>Best Health Policy</t>
  </si>
  <si>
    <t xml:space="preserve"> https://bit.ly/_Health_Policy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</si>
</sst>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1F2937"/>
      <name val="Carlito"/>
    </font>
    <font>
      <b/>
      <sz val="18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sz val="13"/>
      <color rgb="FF000000"/>
      <name val="Helvetica Neue"/>
      <family val="2"/>
    </font>
    <font>
      <b/>
      <sz val="13"/>
      <color rgb="FF000000"/>
      <name val="Helvetica Neue"/>
      <family val="2"/>
    </font>
    <font>
      <u/>
      <sz val="11"/>
      <color theme="10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EAF6EA"/>
      </patternFill>
    </fill>
    <fill>
      <patternFill patternType="solid">
        <fgColor rgb="FFC69214"/>
      </patternFill>
    </fill>
    <fill>
      <patternFill patternType="solid">
        <fgColor rgb="FFFFFDF5"/>
      </patternFill>
    </fill>
    <fill>
      <patternFill patternType="solid">
        <fgColor rgb="FFFFF4CC"/>
      </patternFill>
    </fill>
    <fill>
      <patternFill patternType="solid">
        <fgColor rgb="FFF9FAFB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9CA3AF"/>
      </bottom>
      <diagonal/>
    </border>
    <border>
      <left/>
      <right/>
      <top style="thin">
        <color rgb="FF9CA3AF"/>
      </top>
      <bottom style="thin">
        <color rgb="FF9CA3AF"/>
      </bottom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7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3" fontId="0" fillId="4" borderId="5" xfId="0" applyNumberFormat="1" applyFill="1" applyBorder="1" applyAlignment="1">
      <alignment horizontal="center" vertical="center" wrapText="1"/>
    </xf>
    <xf numFmtId="3" fontId="0" fillId="4" borderId="0" xfId="0" applyNumberFormat="1" applyFill="1" applyAlignment="1">
      <alignment horizontal="center" vertical="center" wrapText="1"/>
    </xf>
    <xf numFmtId="3" fontId="0" fillId="4" borderId="10" xfId="0" applyNumberFormat="1" applyFill="1" applyBorder="1" applyAlignment="1">
      <alignment horizontal="center" vertical="center" wrapText="1"/>
    </xf>
    <xf numFmtId="3" fontId="0" fillId="5" borderId="0" xfId="0" applyNumberFormat="1" applyFill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3" fontId="0" fillId="7" borderId="5" xfId="0" applyNumberFormat="1" applyFill="1" applyBorder="1" applyAlignment="1">
      <alignment horizontal="center" vertical="center" wrapText="1"/>
    </xf>
    <xf numFmtId="3" fontId="0" fillId="7" borderId="0" xfId="0" applyNumberFormat="1" applyFill="1" applyAlignment="1">
      <alignment horizontal="center" vertical="center" wrapText="1"/>
    </xf>
    <xf numFmtId="3" fontId="0" fillId="7" borderId="10" xfId="0" applyNumberForma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 wrapText="1"/>
    </xf>
    <xf numFmtId="9" fontId="0" fillId="0" borderId="6" xfId="0" applyNumberFormat="1" applyBorder="1" applyAlignment="1">
      <alignment horizontal="center" vertical="center" wrapText="1"/>
    </xf>
    <xf numFmtId="9" fontId="0" fillId="0" borderId="8" xfId="0" applyNumberFormat="1" applyBorder="1" applyAlignment="1">
      <alignment horizontal="center" vertical="center" wrapText="1"/>
    </xf>
    <xf numFmtId="9" fontId="0" fillId="0" borderId="11" xfId="0" applyNumberFormat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 vertical="center" wrapText="1"/>
    </xf>
    <xf numFmtId="3" fontId="0" fillId="9" borderId="5" xfId="0" applyNumberFormat="1" applyFill="1" applyBorder="1" applyAlignment="1">
      <alignment horizontal="center" vertical="center" wrapText="1"/>
    </xf>
    <xf numFmtId="3" fontId="0" fillId="9" borderId="0" xfId="0" applyNumberFormat="1" applyFill="1" applyAlignment="1">
      <alignment horizontal="center" vertical="center" wrapText="1"/>
    </xf>
    <xf numFmtId="3" fontId="0" fillId="9" borderId="10" xfId="0" applyNumberFormat="1" applyFill="1" applyBorder="1" applyAlignment="1">
      <alignment horizontal="center" vertical="center" wrapText="1"/>
    </xf>
    <xf numFmtId="9" fontId="0" fillId="0" borderId="5" xfId="0" applyNumberFormat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9" fontId="0" fillId="0" borderId="10" xfId="0" applyNumberForma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 wrapText="1"/>
    </xf>
    <xf numFmtId="9" fontId="2" fillId="2" borderId="2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0" fillId="0" borderId="6" xfId="0" applyNumberFormat="1" applyBorder="1" applyAlignment="1">
      <alignment horizontal="center" vertical="center" wrapText="1"/>
    </xf>
    <xf numFmtId="3" fontId="0" fillId="0" borderId="8" xfId="0" applyNumberFormat="1" applyBorder="1" applyAlignment="1">
      <alignment horizontal="center" vertical="center" wrapText="1"/>
    </xf>
    <xf numFmtId="3" fontId="0" fillId="0" borderId="11" xfId="0" applyNumberFormat="1" applyBorder="1" applyAlignment="1">
      <alignment horizontal="center" vertical="center" wrapText="1"/>
    </xf>
    <xf numFmtId="10" fontId="0" fillId="9" borderId="0" xfId="0" applyNumberFormat="1" applyFill="1" applyAlignment="1">
      <alignment horizontal="center" vertical="center" wrapText="1"/>
    </xf>
    <xf numFmtId="9" fontId="0" fillId="0" borderId="0" xfId="0" applyNumberFormat="1"/>
    <xf numFmtId="164" fontId="0" fillId="7" borderId="6" xfId="0" applyNumberFormat="1" applyFill="1" applyBorder="1" applyAlignment="1">
      <alignment horizontal="center" vertical="center" wrapText="1"/>
    </xf>
    <xf numFmtId="3" fontId="0" fillId="7" borderId="8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6" fillId="0" borderId="0" xfId="0" applyFont="1"/>
    <xf numFmtId="0" fontId="7" fillId="12" borderId="0" xfId="0" applyFont="1" applyFill="1" applyAlignment="1">
      <alignment horizontal="center"/>
    </xf>
    <xf numFmtId="0" fontId="0" fillId="0" borderId="15" xfId="0" applyBorder="1" applyAlignment="1">
      <alignment horizontal="center"/>
    </xf>
    <xf numFmtId="9" fontId="0" fillId="0" borderId="15" xfId="0" applyNumberForma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8" borderId="12" xfId="0" applyFont="1" applyFill="1" applyBorder="1" applyAlignment="1">
      <alignment horizontal="center" wrapText="1"/>
    </xf>
    <xf numFmtId="0" fontId="3" fillId="8" borderId="13" xfId="0" applyFont="1" applyFill="1" applyBorder="1" applyAlignment="1">
      <alignment horizontal="center" wrapText="1"/>
    </xf>
    <xf numFmtId="0" fontId="3" fillId="8" borderId="14" xfId="0" applyFont="1" applyFill="1" applyBorder="1" applyAlignment="1">
      <alignment horizontal="center" wrapText="1"/>
    </xf>
    <xf numFmtId="0" fontId="4" fillId="11" borderId="0" xfId="0" applyFont="1" applyFill="1" applyAlignment="1">
      <alignment horizontal="center"/>
    </xf>
    <xf numFmtId="0" fontId="0" fillId="11" borderId="0" xfId="0" applyFill="1"/>
    <xf numFmtId="0" fontId="9" fillId="0" borderId="0" xfId="0" applyFont="1"/>
    <xf numFmtId="0" fontId="10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it.ly/_Health_Policy" TargetMode="External"/><Relationship Id="rId1" Type="http://schemas.openxmlformats.org/officeDocument/2006/relationships/hyperlink" Target="https://bit.ly/_Term_Poli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A3" zoomScale="180" zoomScaleNormal="180" workbookViewId="0">
      <selection activeCell="E17" sqref="E17"/>
    </sheetView>
  </sheetViews>
  <sheetFormatPr baseColWidth="10" defaultColWidth="8.83203125" defaultRowHeight="14"/>
  <cols>
    <col min="1" max="1" width="28" customWidth="1"/>
    <col min="2" max="2" width="16" customWidth="1"/>
    <col min="3" max="3" width="12" customWidth="1"/>
    <col min="4" max="4" width="4" customWidth="1"/>
    <col min="5" max="5" width="37.83203125" customWidth="1"/>
    <col min="6" max="6" width="18" customWidth="1"/>
    <col min="7" max="9" width="4" customWidth="1"/>
  </cols>
  <sheetData>
    <row r="1" spans="1:9" ht="32" customHeight="1">
      <c r="A1" s="64" t="s">
        <v>0</v>
      </c>
      <c r="B1" s="64"/>
      <c r="C1" s="64"/>
      <c r="D1" s="64"/>
      <c r="E1" s="64"/>
      <c r="F1" s="64"/>
      <c r="G1" s="64"/>
      <c r="H1" s="64"/>
      <c r="I1" s="64"/>
    </row>
    <row r="3" spans="1:9" ht="26.75" customHeight="1">
      <c r="A3" s="65" t="s">
        <v>96</v>
      </c>
      <c r="B3" s="65"/>
      <c r="C3" s="65"/>
      <c r="E3" s="66" t="s">
        <v>97</v>
      </c>
      <c r="F3" s="66"/>
    </row>
    <row r="4" spans="1:9" ht="16">
      <c r="A4" s="1" t="s">
        <v>1</v>
      </c>
      <c r="B4" s="2">
        <v>35</v>
      </c>
      <c r="C4" s="3" t="s">
        <v>2</v>
      </c>
      <c r="E4" s="1" t="s">
        <v>3</v>
      </c>
      <c r="F4" s="49">
        <f>B6*B8</f>
        <v>300000</v>
      </c>
    </row>
    <row r="5" spans="1:9" ht="15">
      <c r="A5" s="4" t="s">
        <v>5</v>
      </c>
      <c r="B5" s="10">
        <v>50000</v>
      </c>
      <c r="C5" s="5" t="s">
        <v>4</v>
      </c>
      <c r="E5" s="14" t="s">
        <v>6</v>
      </c>
      <c r="F5" s="18">
        <f>ROUNDUP(F4/B7,0)</f>
        <v>12</v>
      </c>
    </row>
    <row r="6" spans="1:9" ht="30">
      <c r="A6" s="6" t="s">
        <v>8</v>
      </c>
      <c r="B6" s="11">
        <v>25000</v>
      </c>
      <c r="C6" s="7" t="s">
        <v>4</v>
      </c>
      <c r="E6" s="15" t="s">
        <v>10</v>
      </c>
      <c r="F6" s="19">
        <f>B5*12*20</f>
        <v>12000000</v>
      </c>
    </row>
    <row r="7" spans="1:9" ht="30">
      <c r="A7" s="6" t="s">
        <v>9</v>
      </c>
      <c r="B7" s="13">
        <f>B5-B6</f>
        <v>25000</v>
      </c>
      <c r="C7" s="7" t="s">
        <v>4</v>
      </c>
      <c r="E7" s="15" t="s">
        <v>95</v>
      </c>
      <c r="F7" s="19">
        <f>B5*12*25</f>
        <v>15000000</v>
      </c>
    </row>
    <row r="8" spans="1:9" ht="15">
      <c r="A8" s="6" t="s">
        <v>11</v>
      </c>
      <c r="B8" s="11">
        <v>12</v>
      </c>
      <c r="C8" s="7" t="s">
        <v>7</v>
      </c>
      <c r="E8" s="15" t="s">
        <v>12</v>
      </c>
      <c r="F8" s="19">
        <v>2000000</v>
      </c>
    </row>
    <row r="9" spans="1:9" ht="15">
      <c r="A9" s="8" t="s">
        <v>13</v>
      </c>
      <c r="B9" s="12">
        <v>60</v>
      </c>
      <c r="C9" s="9" t="s">
        <v>2</v>
      </c>
      <c r="E9" s="15" t="s">
        <v>14</v>
      </c>
      <c r="F9" s="19">
        <f>B9-B4</f>
        <v>25</v>
      </c>
    </row>
    <row r="10" spans="1:9" ht="15">
      <c r="E10" s="16" t="s">
        <v>15</v>
      </c>
      <c r="F10" s="20">
        <f>'Retirement Planning'!E8</f>
        <v>25751224.318460926</v>
      </c>
    </row>
    <row r="12" spans="1:9" ht="40" customHeight="1">
      <c r="A12" s="67" t="s">
        <v>108</v>
      </c>
      <c r="B12" s="68"/>
      <c r="C12" s="68"/>
      <c r="D12" s="68"/>
      <c r="E12" s="68"/>
      <c r="F12" s="68"/>
      <c r="G12" s="68"/>
      <c r="H12" s="68"/>
      <c r="I12" s="69"/>
    </row>
    <row r="15" spans="1:9" ht="17">
      <c r="E15" s="72" t="s">
        <v>110</v>
      </c>
      <c r="F15" s="73" t="s">
        <v>109</v>
      </c>
    </row>
    <row r="16" spans="1:9" ht="17">
      <c r="E16" s="72" t="s">
        <v>111</v>
      </c>
      <c r="F16" s="73" t="s">
        <v>112</v>
      </c>
    </row>
  </sheetData>
  <mergeCells count="4">
    <mergeCell ref="A1:I1"/>
    <mergeCell ref="A3:C3"/>
    <mergeCell ref="E3:F3"/>
    <mergeCell ref="A12:I12"/>
  </mergeCells>
  <hyperlinks>
    <hyperlink ref="F15" r:id="rId1" xr:uid="{109DD544-EBDB-3149-BC00-40365A46F65D}"/>
    <hyperlink ref="F16" r:id="rId2" xr:uid="{1F0307E7-4EE5-2D43-BF86-304F894C956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zoomScale="183" zoomScaleNormal="183" workbookViewId="0">
      <selection activeCell="A12" sqref="A12:XFD12"/>
    </sheetView>
  </sheetViews>
  <sheetFormatPr baseColWidth="10" defaultColWidth="8.83203125" defaultRowHeight="14"/>
  <cols>
    <col min="1" max="1" width="14" customWidth="1"/>
    <col min="2" max="3" width="16" customWidth="1"/>
    <col min="4" max="5" width="14" customWidth="1"/>
    <col min="6" max="7" width="16" customWidth="1"/>
    <col min="8" max="8" width="14" customWidth="1"/>
    <col min="10" max="10" width="26" customWidth="1"/>
    <col min="11" max="11" width="16" customWidth="1"/>
    <col min="12" max="12" width="12" customWidth="1"/>
  </cols>
  <sheetData>
    <row r="1" spans="1:12" ht="32" customHeight="1">
      <c r="A1" s="64" t="s">
        <v>16</v>
      </c>
      <c r="B1" s="64"/>
      <c r="C1" s="64"/>
      <c r="D1" s="64"/>
      <c r="E1" s="64"/>
      <c r="F1" s="64"/>
      <c r="G1" s="64"/>
      <c r="H1" s="64"/>
    </row>
    <row r="3" spans="1:12" ht="26.75" customHeight="1">
      <c r="A3" s="1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3" t="s">
        <v>24</v>
      </c>
      <c r="J3" s="65" t="s">
        <v>25</v>
      </c>
      <c r="K3" s="65"/>
      <c r="L3" s="65"/>
    </row>
    <row r="4" spans="1:12" ht="16">
      <c r="A4" s="21" t="s">
        <v>26</v>
      </c>
      <c r="B4" s="27">
        <v>0</v>
      </c>
      <c r="C4" s="27">
        <f>Dashboard!B7</f>
        <v>25000</v>
      </c>
      <c r="D4" s="27">
        <v>0</v>
      </c>
      <c r="E4" s="27">
        <f t="shared" ref="E4:E15" si="0">C4+D4</f>
        <v>25000</v>
      </c>
      <c r="F4" s="27">
        <f t="shared" ref="F4:F15" si="1">B4+E4</f>
        <v>25000</v>
      </c>
      <c r="G4" s="27">
        <f>Dashboard!F4</f>
        <v>300000</v>
      </c>
      <c r="H4" s="30">
        <f t="shared" ref="H4:H15" si="2">IF(G4=0,0,F4/G4)</f>
        <v>8.3333333333333329E-2</v>
      </c>
      <c r="J4" s="1" t="s">
        <v>27</v>
      </c>
      <c r="K4" s="49">
        <f>Dashboard!F4</f>
        <v>300000</v>
      </c>
      <c r="L4" s="3" t="s">
        <v>4</v>
      </c>
    </row>
    <row r="5" spans="1:12" ht="15">
      <c r="A5" s="23" t="s">
        <v>28</v>
      </c>
      <c r="B5" s="28">
        <f t="shared" ref="B5:B15" si="3">F4</f>
        <v>25000</v>
      </c>
      <c r="C5" s="28">
        <f>Dashboard!B7</f>
        <v>25000</v>
      </c>
      <c r="D5" s="28">
        <v>0</v>
      </c>
      <c r="E5" s="28">
        <f t="shared" si="0"/>
        <v>25000</v>
      </c>
      <c r="F5" s="28">
        <f t="shared" si="1"/>
        <v>50000</v>
      </c>
      <c r="G5" s="28">
        <f>Dashboard!F4</f>
        <v>300000</v>
      </c>
      <c r="H5" s="31">
        <f t="shared" si="2"/>
        <v>0.16666666666666666</v>
      </c>
      <c r="J5" s="33" t="s">
        <v>29</v>
      </c>
      <c r="K5" s="39">
        <f>Dashboard!B7</f>
        <v>25000</v>
      </c>
      <c r="L5" s="34" t="s">
        <v>4</v>
      </c>
    </row>
    <row r="6" spans="1:12" ht="15">
      <c r="A6" s="23" t="s">
        <v>30</v>
      </c>
      <c r="B6" s="28">
        <f t="shared" si="3"/>
        <v>50000</v>
      </c>
      <c r="C6" s="28">
        <f>Dashboard!B7</f>
        <v>25000</v>
      </c>
      <c r="D6" s="28">
        <v>0</v>
      </c>
      <c r="E6" s="28">
        <f t="shared" si="0"/>
        <v>25000</v>
      </c>
      <c r="F6" s="28">
        <f t="shared" si="1"/>
        <v>75000</v>
      </c>
      <c r="G6" s="28">
        <f>Dashboard!F4</f>
        <v>300000</v>
      </c>
      <c r="H6" s="31">
        <f t="shared" si="2"/>
        <v>0.25</v>
      </c>
      <c r="J6" s="35" t="s">
        <v>31</v>
      </c>
      <c r="K6" s="40">
        <f>F15</f>
        <v>300000</v>
      </c>
      <c r="L6" s="36" t="s">
        <v>4</v>
      </c>
    </row>
    <row r="7" spans="1:12" ht="15">
      <c r="A7" s="23" t="s">
        <v>32</v>
      </c>
      <c r="B7" s="28">
        <f t="shared" si="3"/>
        <v>75000</v>
      </c>
      <c r="C7" s="28">
        <f>Dashboard!B7</f>
        <v>25000</v>
      </c>
      <c r="D7" s="28">
        <v>0</v>
      </c>
      <c r="E7" s="28">
        <f t="shared" si="0"/>
        <v>25000</v>
      </c>
      <c r="F7" s="28">
        <f t="shared" si="1"/>
        <v>100000</v>
      </c>
      <c r="G7" s="28">
        <f>Dashboard!F4</f>
        <v>300000</v>
      </c>
      <c r="H7" s="31">
        <f t="shared" si="2"/>
        <v>0.33333333333333331</v>
      </c>
      <c r="J7" s="35" t="s">
        <v>33</v>
      </c>
      <c r="K7" s="40">
        <f>K4-K6</f>
        <v>0</v>
      </c>
      <c r="L7" s="36" t="s">
        <v>4</v>
      </c>
    </row>
    <row r="8" spans="1:12" ht="30">
      <c r="A8" s="23" t="s">
        <v>34</v>
      </c>
      <c r="B8" s="28">
        <f t="shared" si="3"/>
        <v>100000</v>
      </c>
      <c r="C8" s="28">
        <f>Dashboard!B7</f>
        <v>25000</v>
      </c>
      <c r="D8" s="28">
        <v>0</v>
      </c>
      <c r="E8" s="28">
        <f t="shared" si="0"/>
        <v>25000</v>
      </c>
      <c r="F8" s="28">
        <f t="shared" si="1"/>
        <v>125000</v>
      </c>
      <c r="G8" s="28">
        <f>Dashboard!F4</f>
        <v>300000</v>
      </c>
      <c r="H8" s="31">
        <f t="shared" si="2"/>
        <v>0.41666666666666669</v>
      </c>
      <c r="J8" s="37" t="s">
        <v>35</v>
      </c>
      <c r="K8" s="41">
        <f>Dashboard!F5</f>
        <v>12</v>
      </c>
      <c r="L8" s="38" t="s">
        <v>7</v>
      </c>
    </row>
    <row r="9" spans="1:12" ht="15">
      <c r="A9" s="23" t="s">
        <v>36</v>
      </c>
      <c r="B9" s="28">
        <f t="shared" si="3"/>
        <v>125000</v>
      </c>
      <c r="C9" s="28">
        <f>Dashboard!B7</f>
        <v>25000</v>
      </c>
      <c r="D9" s="28">
        <v>0</v>
      </c>
      <c r="E9" s="28">
        <f t="shared" si="0"/>
        <v>25000</v>
      </c>
      <c r="F9" s="28">
        <f t="shared" si="1"/>
        <v>150000</v>
      </c>
      <c r="G9" s="28">
        <f>Dashboard!F4</f>
        <v>300000</v>
      </c>
      <c r="H9" s="31">
        <f t="shared" si="2"/>
        <v>0.5</v>
      </c>
    </row>
    <row r="10" spans="1:12" ht="15">
      <c r="A10" s="23" t="s">
        <v>37</v>
      </c>
      <c r="B10" s="28">
        <f t="shared" si="3"/>
        <v>150000</v>
      </c>
      <c r="C10" s="28">
        <f>Dashboard!B7</f>
        <v>25000</v>
      </c>
      <c r="D10" s="28">
        <v>0</v>
      </c>
      <c r="E10" s="28">
        <f t="shared" si="0"/>
        <v>25000</v>
      </c>
      <c r="F10" s="28">
        <f t="shared" si="1"/>
        <v>175000</v>
      </c>
      <c r="G10" s="28">
        <f>Dashboard!F4</f>
        <v>300000</v>
      </c>
      <c r="H10" s="31">
        <f t="shared" si="2"/>
        <v>0.58333333333333337</v>
      </c>
    </row>
    <row r="11" spans="1:12" ht="15">
      <c r="A11" s="23" t="s">
        <v>38</v>
      </c>
      <c r="B11" s="28">
        <f t="shared" si="3"/>
        <v>175000</v>
      </c>
      <c r="C11" s="28">
        <f>Dashboard!B7</f>
        <v>25000</v>
      </c>
      <c r="D11" s="28">
        <v>0</v>
      </c>
      <c r="E11" s="28">
        <f t="shared" si="0"/>
        <v>25000</v>
      </c>
      <c r="F11" s="28">
        <f t="shared" si="1"/>
        <v>200000</v>
      </c>
      <c r="G11" s="28">
        <f>Dashboard!F4</f>
        <v>300000</v>
      </c>
      <c r="H11" s="31">
        <f t="shared" si="2"/>
        <v>0.66666666666666663</v>
      </c>
    </row>
    <row r="12" spans="1:12" ht="15">
      <c r="A12" s="23" t="s">
        <v>39</v>
      </c>
      <c r="B12" s="28">
        <f t="shared" si="3"/>
        <v>200000</v>
      </c>
      <c r="C12" s="28">
        <f>Dashboard!B7</f>
        <v>25000</v>
      </c>
      <c r="D12" s="28">
        <v>0</v>
      </c>
      <c r="E12" s="28">
        <f t="shared" si="0"/>
        <v>25000</v>
      </c>
      <c r="F12" s="28">
        <f t="shared" si="1"/>
        <v>225000</v>
      </c>
      <c r="G12" s="28">
        <f>Dashboard!F4</f>
        <v>300000</v>
      </c>
      <c r="H12" s="31">
        <f t="shared" si="2"/>
        <v>0.75</v>
      </c>
    </row>
    <row r="13" spans="1:12" ht="15">
      <c r="A13" s="23" t="s">
        <v>40</v>
      </c>
      <c r="B13" s="28">
        <f t="shared" si="3"/>
        <v>225000</v>
      </c>
      <c r="C13" s="28">
        <f>Dashboard!B7</f>
        <v>25000</v>
      </c>
      <c r="D13" s="28">
        <v>0</v>
      </c>
      <c r="E13" s="28">
        <f t="shared" si="0"/>
        <v>25000</v>
      </c>
      <c r="F13" s="28">
        <f t="shared" si="1"/>
        <v>250000</v>
      </c>
      <c r="G13" s="28">
        <f>Dashboard!F4</f>
        <v>300000</v>
      </c>
      <c r="H13" s="31">
        <f t="shared" si="2"/>
        <v>0.83333333333333337</v>
      </c>
    </row>
    <row r="14" spans="1:12" ht="15">
      <c r="A14" s="23" t="s">
        <v>41</v>
      </c>
      <c r="B14" s="28">
        <f t="shared" si="3"/>
        <v>250000</v>
      </c>
      <c r="C14" s="28">
        <f>Dashboard!B7</f>
        <v>25000</v>
      </c>
      <c r="D14" s="28">
        <v>0</v>
      </c>
      <c r="E14" s="28">
        <f t="shared" si="0"/>
        <v>25000</v>
      </c>
      <c r="F14" s="28">
        <f t="shared" si="1"/>
        <v>275000</v>
      </c>
      <c r="G14" s="28">
        <f>Dashboard!F4</f>
        <v>300000</v>
      </c>
      <c r="H14" s="31">
        <f t="shared" si="2"/>
        <v>0.91666666666666663</v>
      </c>
    </row>
    <row r="15" spans="1:12" ht="15">
      <c r="A15" s="25" t="s">
        <v>42</v>
      </c>
      <c r="B15" s="29">
        <f t="shared" si="3"/>
        <v>275000</v>
      </c>
      <c r="C15" s="29">
        <f>Dashboard!B7</f>
        <v>25000</v>
      </c>
      <c r="D15" s="29">
        <v>0</v>
      </c>
      <c r="E15" s="29">
        <f t="shared" si="0"/>
        <v>25000</v>
      </c>
      <c r="F15" s="29">
        <f t="shared" si="1"/>
        <v>300000</v>
      </c>
      <c r="G15" s="29">
        <f>Dashboard!F4</f>
        <v>300000</v>
      </c>
      <c r="H15" s="32">
        <f t="shared" si="2"/>
        <v>1</v>
      </c>
    </row>
  </sheetData>
  <mergeCells count="2">
    <mergeCell ref="A1:H1"/>
    <mergeCell ref="J3:L3"/>
  </mergeCells>
  <conditionalFormatting sqref="H4:H15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44F2A-9285-604A-8C3B-BBB471E1C17A}">
  <dimension ref="A1:D13"/>
  <sheetViews>
    <sheetView zoomScale="191" zoomScaleNormal="324" workbookViewId="0">
      <selection activeCell="B3" sqref="B3"/>
    </sheetView>
  </sheetViews>
  <sheetFormatPr baseColWidth="10" defaultColWidth="8.83203125" defaultRowHeight="14"/>
  <cols>
    <col min="1" max="1" width="22" customWidth="1"/>
    <col min="2" max="3" width="15" customWidth="1"/>
    <col min="4" max="4" width="30" customWidth="1"/>
  </cols>
  <sheetData>
    <row r="1" spans="1:4" ht="24">
      <c r="A1" s="70" t="s">
        <v>98</v>
      </c>
      <c r="B1" s="71"/>
      <c r="C1" s="71"/>
      <c r="D1" s="71"/>
    </row>
    <row r="2" spans="1:4" ht="15">
      <c r="A2" s="61" t="s">
        <v>99</v>
      </c>
      <c r="B2" s="58">
        <v>10000</v>
      </c>
    </row>
    <row r="3" spans="1:4" ht="15">
      <c r="A3" s="59" t="s">
        <v>44</v>
      </c>
      <c r="B3" s="59" t="s">
        <v>45</v>
      </c>
      <c r="C3" s="59" t="s">
        <v>100</v>
      </c>
      <c r="D3" s="59" t="s">
        <v>101</v>
      </c>
    </row>
    <row r="4" spans="1:4">
      <c r="A4" s="62" t="s">
        <v>52</v>
      </c>
      <c r="B4" s="63">
        <v>0.3</v>
      </c>
      <c r="C4" s="62">
        <f>B2*B4</f>
        <v>3000</v>
      </c>
      <c r="D4" s="62" t="s">
        <v>102</v>
      </c>
    </row>
    <row r="5" spans="1:4">
      <c r="A5" s="62" t="s">
        <v>55</v>
      </c>
      <c r="B5" s="63">
        <v>0.2</v>
      </c>
      <c r="C5" s="62">
        <f>B2*B5</f>
        <v>2000</v>
      </c>
      <c r="D5" s="62" t="s">
        <v>103</v>
      </c>
    </row>
    <row r="6" spans="1:4">
      <c r="A6" s="62" t="s">
        <v>58</v>
      </c>
      <c r="B6" s="63">
        <v>0.2</v>
      </c>
      <c r="C6" s="62">
        <f>B2*B6</f>
        <v>2000</v>
      </c>
      <c r="D6" s="62" t="s">
        <v>104</v>
      </c>
    </row>
    <row r="7" spans="1:4">
      <c r="A7" s="62" t="s">
        <v>61</v>
      </c>
      <c r="B7" s="63">
        <v>0.2</v>
      </c>
      <c r="C7" s="62">
        <f>B2*B7</f>
        <v>2000</v>
      </c>
      <c r="D7" s="62" t="s">
        <v>105</v>
      </c>
    </row>
    <row r="8" spans="1:4">
      <c r="A8" s="62" t="s">
        <v>63</v>
      </c>
      <c r="B8" s="63">
        <v>0.1</v>
      </c>
      <c r="C8" s="62">
        <f>B2*B8</f>
        <v>1000</v>
      </c>
      <c r="D8" s="62" t="s">
        <v>106</v>
      </c>
    </row>
    <row r="9" spans="1:4">
      <c r="A9" s="62"/>
      <c r="B9" s="62"/>
      <c r="C9" s="62"/>
      <c r="D9" s="62"/>
    </row>
    <row r="10" spans="1:4">
      <c r="A10" s="62" t="s">
        <v>107</v>
      </c>
      <c r="B10" s="63">
        <v>1</v>
      </c>
      <c r="C10" s="62">
        <f>B2*B10</f>
        <v>10000</v>
      </c>
      <c r="D10" s="62"/>
    </row>
    <row r="13" spans="1:4" ht="15">
      <c r="A13" s="60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zoomScale="195" zoomScaleNormal="195" workbookViewId="0">
      <selection activeCell="D11" sqref="D11"/>
    </sheetView>
  </sheetViews>
  <sheetFormatPr baseColWidth="10" defaultColWidth="8.83203125" defaultRowHeight="14"/>
  <cols>
    <col min="1" max="1" width="22" customWidth="1"/>
    <col min="2" max="4" width="14" customWidth="1"/>
    <col min="5" max="5" width="10" customWidth="1"/>
    <col min="6" max="6" width="18" customWidth="1"/>
    <col min="7" max="7" width="22" customWidth="1"/>
    <col min="8" max="8" width="18" customWidth="1"/>
    <col min="9" max="9" width="24" customWidth="1"/>
  </cols>
  <sheetData>
    <row r="1" spans="1:9" ht="32" customHeight="1">
      <c r="A1" s="64" t="s">
        <v>43</v>
      </c>
      <c r="B1" s="64"/>
      <c r="C1" s="64"/>
      <c r="D1" s="64"/>
      <c r="E1" s="64"/>
      <c r="F1" s="64"/>
      <c r="G1" s="64"/>
      <c r="H1" s="64"/>
      <c r="I1" s="64"/>
    </row>
    <row r="3" spans="1:9" ht="32">
      <c r="A3" s="1" t="s">
        <v>44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  <c r="H3" s="2" t="s">
        <v>51</v>
      </c>
    </row>
    <row r="4" spans="1:9" ht="15">
      <c r="A4" s="21" t="s">
        <v>52</v>
      </c>
      <c r="B4" s="42">
        <v>0.3</v>
      </c>
      <c r="C4" s="27">
        <f>ROUND(Dashboard!B7*B4,0)</f>
        <v>7500</v>
      </c>
      <c r="D4" s="45">
        <v>0.1</v>
      </c>
      <c r="E4" s="22">
        <v>10</v>
      </c>
      <c r="F4" s="27">
        <f>IF(D4="",0,C4*(((1+D4/12)^(E4*12)-1)/(D4/12))*(1+D4/12))</f>
        <v>1549140.1529574834</v>
      </c>
      <c r="G4" s="22" t="s">
        <v>53</v>
      </c>
      <c r="H4" s="22" t="s">
        <v>54</v>
      </c>
    </row>
    <row r="5" spans="1:9" ht="15">
      <c r="A5" s="23" t="s">
        <v>55</v>
      </c>
      <c r="B5" s="43">
        <v>0.2</v>
      </c>
      <c r="C5" s="28">
        <f>ROUND(Dashboard!B7*B5,0)</f>
        <v>5000</v>
      </c>
      <c r="D5" s="46">
        <v>0.12</v>
      </c>
      <c r="E5" s="24">
        <v>20</v>
      </c>
      <c r="F5" s="28">
        <f>IF(D5="",0,C5*(((1+D5/12)^(E5*12)-1)/(D5/12))*(1+D5/12))</f>
        <v>4995739.5952061834</v>
      </c>
      <c r="G5" s="24" t="s">
        <v>56</v>
      </c>
      <c r="H5" s="24" t="s">
        <v>57</v>
      </c>
    </row>
    <row r="6" spans="1:9" ht="15">
      <c r="A6" s="23" t="s">
        <v>58</v>
      </c>
      <c r="B6" s="43">
        <v>0.2</v>
      </c>
      <c r="C6" s="28">
        <f>ROUND(Dashboard!B7*B6,0)</f>
        <v>5000</v>
      </c>
      <c r="D6" s="46">
        <v>0.14000000000000001</v>
      </c>
      <c r="E6" s="24">
        <v>30</v>
      </c>
      <c r="F6" s="28">
        <f>IF(D6="",0,C6*(((1+D6/12)^(E6*12)-1)/(D6/12))*(1+D6/12))</f>
        <v>27785278.139928032</v>
      </c>
      <c r="G6" s="24" t="s">
        <v>59</v>
      </c>
      <c r="H6" s="24" t="s">
        <v>60</v>
      </c>
    </row>
    <row r="7" spans="1:9" ht="15">
      <c r="A7" s="23" t="s">
        <v>61</v>
      </c>
      <c r="B7" s="43">
        <v>0.2</v>
      </c>
      <c r="C7" s="28">
        <f>ROUND(Dashboard!B7*B7,0)</f>
        <v>5000</v>
      </c>
      <c r="D7" s="46">
        <v>0.09</v>
      </c>
      <c r="E7" s="24">
        <v>30</v>
      </c>
      <c r="F7" s="28">
        <f>IF(D7="",0,C7*(((1+D7/12)^(E7*12)-1)/(D7/12))*(1+D7/12))</f>
        <v>9222370.2959755734</v>
      </c>
      <c r="G7" s="24" t="s">
        <v>62</v>
      </c>
      <c r="H7" s="24" t="s">
        <v>54</v>
      </c>
    </row>
    <row r="8" spans="1:9" ht="15">
      <c r="A8" s="25" t="s">
        <v>63</v>
      </c>
      <c r="B8" s="44">
        <v>0.1</v>
      </c>
      <c r="C8" s="29">
        <f>ROUND(Dashboard!B7*B8,0)</f>
        <v>2500</v>
      </c>
      <c r="D8" s="47">
        <v>7.0000000000000007E-2</v>
      </c>
      <c r="E8" s="26">
        <v>30</v>
      </c>
      <c r="F8" s="29">
        <f>IF(D8="",0,C8*(((1+D8/12)^(E8*12)-1)/(D8/12))*(1+D8/12))</f>
        <v>3067718.7331282543</v>
      </c>
      <c r="G8" s="26" t="s">
        <v>64</v>
      </c>
      <c r="H8" s="26" t="s">
        <v>65</v>
      </c>
    </row>
    <row r="9" spans="1:9">
      <c r="B9" s="55"/>
    </row>
    <row r="10" spans="1:9" ht="30">
      <c r="A10" s="1" t="s">
        <v>66</v>
      </c>
      <c r="B10" s="48">
        <f>SUM(B4:B8)</f>
        <v>0.99999999999999989</v>
      </c>
      <c r="C10" s="49">
        <f>SUM(C4:C8)</f>
        <v>25000</v>
      </c>
      <c r="D10" s="2"/>
      <c r="E10" s="2"/>
      <c r="F10" s="50">
        <f>SUM(F4:F8)</f>
        <v>46620246.917195529</v>
      </c>
      <c r="H10" s="14" t="s">
        <v>67</v>
      </c>
      <c r="I10" s="56">
        <f>SUMPRODUCT(B4:B8,D4:D8)</f>
        <v>0.10700000000000001</v>
      </c>
    </row>
    <row r="11" spans="1:9" ht="30">
      <c r="H11" s="15" t="s">
        <v>68</v>
      </c>
      <c r="I11" s="57">
        <f>Dashboard!B7</f>
        <v>25000</v>
      </c>
    </row>
    <row r="12" spans="1:9" ht="30">
      <c r="H12" s="15" t="s">
        <v>69</v>
      </c>
      <c r="I12" s="57">
        <f>F10</f>
        <v>46620246.917195529</v>
      </c>
    </row>
    <row r="13" spans="1:9" ht="30">
      <c r="H13" s="16" t="s">
        <v>70</v>
      </c>
      <c r="I13" s="17" t="s">
        <v>71</v>
      </c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zoomScale="185" zoomScaleNormal="185" workbookViewId="0">
      <selection activeCell="B14" sqref="B14"/>
    </sheetView>
  </sheetViews>
  <sheetFormatPr baseColWidth="10" defaultColWidth="8.83203125" defaultRowHeight="14"/>
  <cols>
    <col min="1" max="1" width="32" customWidth="1"/>
    <col min="2" max="2" width="18" customWidth="1"/>
    <col min="4" max="4" width="28" customWidth="1"/>
    <col min="5" max="5" width="20" customWidth="1"/>
    <col min="6" max="6" width="12" customWidth="1"/>
  </cols>
  <sheetData>
    <row r="1" spans="1:8" ht="32" customHeight="1">
      <c r="A1" s="64" t="s">
        <v>72</v>
      </c>
      <c r="B1" s="64"/>
      <c r="C1" s="64"/>
      <c r="D1" s="64"/>
      <c r="E1" s="64"/>
      <c r="F1" s="64"/>
      <c r="G1" s="64"/>
      <c r="H1" s="64"/>
    </row>
    <row r="3" spans="1:8" ht="16">
      <c r="A3" s="1" t="s">
        <v>1</v>
      </c>
      <c r="B3" s="3">
        <f>Dashboard!B4</f>
        <v>35</v>
      </c>
      <c r="D3" s="1" t="s">
        <v>73</v>
      </c>
      <c r="E3" s="2" t="s">
        <v>74</v>
      </c>
      <c r="F3" s="3" t="s">
        <v>75</v>
      </c>
    </row>
    <row r="4" spans="1:8" ht="15">
      <c r="A4" s="21" t="s">
        <v>13</v>
      </c>
      <c r="B4" s="51">
        <f>Dashboard!B9</f>
        <v>60</v>
      </c>
      <c r="D4" s="33" t="s">
        <v>76</v>
      </c>
      <c r="E4" s="39">
        <f>Dashboard!B7</f>
        <v>25000</v>
      </c>
      <c r="F4" s="34" t="s">
        <v>4</v>
      </c>
    </row>
    <row r="5" spans="1:8" ht="15">
      <c r="A5" s="23" t="s">
        <v>14</v>
      </c>
      <c r="B5" s="52">
        <f>B4-B3</f>
        <v>25</v>
      </c>
      <c r="D5" s="35" t="s">
        <v>14</v>
      </c>
      <c r="E5" s="40">
        <f>B5</f>
        <v>25</v>
      </c>
      <c r="F5" s="36" t="s">
        <v>2</v>
      </c>
    </row>
    <row r="6" spans="1:8" ht="30">
      <c r="A6" s="23" t="s">
        <v>77</v>
      </c>
      <c r="B6" s="52">
        <f>Dashboard!B6</f>
        <v>25000</v>
      </c>
      <c r="D6" s="35" t="s">
        <v>78</v>
      </c>
      <c r="E6" s="54">
        <f>B8/12</f>
        <v>9.1666666666666667E-3</v>
      </c>
      <c r="F6" s="36" t="s">
        <v>79</v>
      </c>
    </row>
    <row r="7" spans="1:8" ht="15">
      <c r="A7" s="23" t="s">
        <v>80</v>
      </c>
      <c r="B7" s="31">
        <v>0.06</v>
      </c>
      <c r="D7" s="35" t="s">
        <v>81</v>
      </c>
      <c r="E7" s="40">
        <f>IF(E5=0,0,E8/((((1+E6)^(E5*12))-1)/E6)*(1/(1+E6)))</f>
        <v>16189.820735434405</v>
      </c>
      <c r="F7" s="36" t="s">
        <v>4</v>
      </c>
    </row>
    <row r="8" spans="1:8" ht="15">
      <c r="A8" s="23" t="s">
        <v>82</v>
      </c>
      <c r="B8" s="31">
        <v>0.11</v>
      </c>
      <c r="D8" s="35" t="s">
        <v>83</v>
      </c>
      <c r="E8" s="40">
        <f>B14</f>
        <v>25751224.318460926</v>
      </c>
      <c r="F8" s="36" t="s">
        <v>4</v>
      </c>
    </row>
    <row r="9" spans="1:8" ht="30">
      <c r="A9" s="23" t="s">
        <v>84</v>
      </c>
      <c r="B9" s="31">
        <v>7.0000000000000007E-2</v>
      </c>
      <c r="D9" s="35" t="s">
        <v>70</v>
      </c>
      <c r="E9" s="40" t="s">
        <v>85</v>
      </c>
      <c r="F9" s="36"/>
    </row>
    <row r="10" spans="1:8" ht="15">
      <c r="A10" s="23" t="s">
        <v>86</v>
      </c>
      <c r="B10" s="31">
        <v>0.8</v>
      </c>
      <c r="D10" s="35"/>
      <c r="E10" s="40"/>
      <c r="F10" s="36"/>
    </row>
    <row r="11" spans="1:8" ht="30">
      <c r="A11" s="23" t="s">
        <v>87</v>
      </c>
      <c r="B11" s="52">
        <f>B6*(1+B7)^B5*B10</f>
        <v>85837.41439486976</v>
      </c>
      <c r="D11" s="35" t="s">
        <v>88</v>
      </c>
      <c r="E11" s="40">
        <f>B6*(1+0.05)^B5*B10*12*B13</f>
        <v>20318129.645396315</v>
      </c>
      <c r="F11" s="36" t="s">
        <v>4</v>
      </c>
    </row>
    <row r="12" spans="1:8" ht="30">
      <c r="A12" s="23" t="s">
        <v>89</v>
      </c>
      <c r="B12" s="52">
        <f>B11*12</f>
        <v>1030048.9727384371</v>
      </c>
      <c r="D12" s="35" t="s">
        <v>90</v>
      </c>
      <c r="E12" s="40">
        <f>B6*(1+0.07)^B5*B10*12*B13</f>
        <v>32564595.84073735</v>
      </c>
      <c r="F12" s="36" t="s">
        <v>4</v>
      </c>
    </row>
    <row r="13" spans="1:8" ht="15">
      <c r="A13" s="23" t="s">
        <v>91</v>
      </c>
      <c r="B13" s="52">
        <v>25</v>
      </c>
      <c r="D13" s="35"/>
      <c r="E13" s="40"/>
      <c r="F13" s="36"/>
    </row>
    <row r="14" spans="1:8" ht="30">
      <c r="A14" s="25" t="s">
        <v>92</v>
      </c>
      <c r="B14" s="53">
        <f>B12*B13</f>
        <v>25751224.318460926</v>
      </c>
      <c r="D14" s="35" t="s">
        <v>93</v>
      </c>
      <c r="E14" s="40" t="s">
        <v>94</v>
      </c>
      <c r="F14" s="36"/>
    </row>
    <row r="15" spans="1:8">
      <c r="D15" s="37"/>
      <c r="E15" s="41"/>
      <c r="F15" s="38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Emergency Fund Plan</vt:lpstr>
      <vt:lpstr>Guide</vt:lpstr>
      <vt:lpstr>Investment Planning</vt:lpstr>
      <vt:lpstr>Retirement 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revanth reddy</cp:lastModifiedBy>
  <dcterms:created xsi:type="dcterms:W3CDTF">2026-04-11T11:31:03Z</dcterms:created>
  <dcterms:modified xsi:type="dcterms:W3CDTF">2026-04-11T15:10:56Z</dcterms:modified>
</cp:coreProperties>
</file>